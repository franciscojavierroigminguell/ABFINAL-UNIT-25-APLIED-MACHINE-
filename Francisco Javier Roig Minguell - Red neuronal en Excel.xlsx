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<sst xmlns="http://schemas.openxmlformats.org/spreadsheetml/2006/main" count="15" uniqueCount="15">
  <si>
    <t>sample data</t>
  </si>
  <si>
    <t>weights</t>
  </si>
  <si>
    <t xml:space="preserve">WEIGHT ADJUSTMENTS </t>
  </si>
  <si>
    <t>input 1</t>
  </si>
  <si>
    <t>input 2</t>
  </si>
  <si>
    <t>input 3</t>
  </si>
  <si>
    <t>output</t>
  </si>
  <si>
    <t>weight 1</t>
  </si>
  <si>
    <t xml:space="preserve">weight 2 </t>
  </si>
  <si>
    <t>weight 3</t>
  </si>
  <si>
    <t>BIAS</t>
  </si>
  <si>
    <t>OUTPUT</t>
  </si>
  <si>
    <t xml:space="preserve">W1 CHANGE </t>
  </si>
  <si>
    <t xml:space="preserve">W2 CHANGE </t>
  </si>
  <si>
    <t xml:space="preserve">W3 CHANGE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</si>
</sst>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Arial"/>
    </font>
    <font/>
    <font>
      <color theme="1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4" fillId="4" fontId="1" numFmtId="0" xfId="0" applyAlignment="1" applyBorder="1" applyFont="1">
      <alignment vertical="bottom"/>
    </xf>
    <xf borderId="4" fillId="4" fontId="3" numFmtId="0" xfId="0" applyAlignment="1" applyBorder="1" applyFont="1">
      <alignment vertical="bottom"/>
    </xf>
    <xf borderId="4" fillId="5" fontId="3" numFmtId="0" xfId="0" applyAlignment="1" applyBorder="1" applyFill="1" applyFont="1">
      <alignment vertical="bottom"/>
    </xf>
    <xf borderId="4" fillId="6" fontId="3" numFmtId="0" xfId="0" applyAlignment="1" applyBorder="1" applyFill="1" applyFont="1">
      <alignment horizontal="center" vertical="bottom"/>
    </xf>
    <xf borderId="4" fillId="6" fontId="3" numFmtId="0" xfId="0" applyAlignment="1" applyBorder="1" applyFont="1">
      <alignment vertical="bottom"/>
    </xf>
    <xf borderId="4" fillId="7" fontId="3" numFmtId="0" xfId="0" applyAlignment="1" applyBorder="1" applyFill="1" applyFont="1">
      <alignment vertical="bottom"/>
    </xf>
    <xf borderId="4" fillId="0" fontId="3" numFmtId="0" xfId="0" applyAlignment="1" applyBorder="1" applyFont="1">
      <alignment horizontal="right" vertical="bottom"/>
    </xf>
    <xf borderId="4" fillId="0" fontId="3" numFmtId="9" xfId="0" applyAlignment="1" applyBorder="1" applyFont="1" applyNumberFormat="1">
      <alignment horizontal="right" vertical="bottom"/>
    </xf>
    <xf borderId="0" fillId="0" fontId="3" numFmtId="10" xfId="0" applyAlignment="1" applyFont="1" applyNumberFormat="1">
      <alignment vertical="bottom"/>
    </xf>
    <xf borderId="4" fillId="0" fontId="3" numFmtId="4" xfId="0" applyAlignment="1" applyBorder="1" applyFont="1" applyNumberFormat="1">
      <alignment horizontal="right" vertical="bottom"/>
    </xf>
    <xf borderId="4" fillId="0" fontId="3" numFmtId="10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3"/>
      <c r="I1" s="4"/>
      <c r="J1" s="4"/>
      <c r="K1" s="4"/>
      <c r="L1" s="4"/>
      <c r="M1" s="6" t="s">
        <v>2</v>
      </c>
      <c r="N1" s="2"/>
      <c r="O1" s="3"/>
    </row>
    <row r="2">
      <c r="A2" s="7" t="s">
        <v>3</v>
      </c>
      <c r="B2" s="8" t="s">
        <v>4</v>
      </c>
      <c r="C2" s="8" t="s">
        <v>5</v>
      </c>
      <c r="D2" s="8" t="s">
        <v>6</v>
      </c>
      <c r="E2" s="4"/>
      <c r="F2" s="9" t="s">
        <v>7</v>
      </c>
      <c r="G2" s="9" t="s">
        <v>8</v>
      </c>
      <c r="H2" s="9" t="s">
        <v>9</v>
      </c>
      <c r="I2" s="4"/>
      <c r="J2" s="10" t="s">
        <v>10</v>
      </c>
      <c r="K2" s="11" t="s">
        <v>11</v>
      </c>
      <c r="L2" s="4"/>
      <c r="M2" s="12" t="s">
        <v>12</v>
      </c>
      <c r="N2" s="12" t="s">
        <v>13</v>
      </c>
      <c r="O2" s="12" t="s">
        <v>14</v>
      </c>
    </row>
    <row r="3">
      <c r="A3" s="13">
        <v>1.0</v>
      </c>
      <c r="B3" s="13">
        <v>0.0</v>
      </c>
      <c r="C3" s="13">
        <v>0.0</v>
      </c>
      <c r="D3" s="13">
        <v>1.0</v>
      </c>
      <c r="E3" s="4"/>
      <c r="F3" s="14">
        <v>0.71</v>
      </c>
      <c r="G3" s="14">
        <v>0.76</v>
      </c>
      <c r="H3" s="14">
        <v>0.83</v>
      </c>
      <c r="I3" s="15"/>
      <c r="J3" s="16">
        <f t="shared" ref="J3:J18" si="3">(F3*A3)+(G3*B3)+(H3*C3)</f>
        <v>0.71</v>
      </c>
      <c r="K3" s="16">
        <f t="shared" ref="K3:K18" si="4">1/(1+(EXP(-J3)))</f>
        <v>0.6704011598</v>
      </c>
      <c r="L3" s="4"/>
      <c r="M3" s="17">
        <f t="shared" ref="M3:O3" si="1">(D3-K3)*A3*K3*(1-K3)</f>
        <v>0.07282929511</v>
      </c>
      <c r="N3" s="17">
        <f t="shared" si="1"/>
        <v>0</v>
      </c>
      <c r="O3" s="17">
        <f t="shared" si="1"/>
        <v>0</v>
      </c>
    </row>
    <row r="4">
      <c r="A4" s="13">
        <v>1.0</v>
      </c>
      <c r="B4" s="13">
        <v>0.0</v>
      </c>
      <c r="C4" s="13">
        <v>1.0</v>
      </c>
      <c r="D4" s="13">
        <v>1.0</v>
      </c>
      <c r="E4" s="4"/>
      <c r="F4" s="14">
        <f t="shared" ref="F4:H4" si="2">F3+M3</f>
        <v>0.7828292951</v>
      </c>
      <c r="G4" s="14">
        <f t="shared" si="2"/>
        <v>0.76</v>
      </c>
      <c r="H4" s="14">
        <f t="shared" si="2"/>
        <v>0.83</v>
      </c>
      <c r="I4" s="15"/>
      <c r="J4" s="16">
        <f t="shared" si="3"/>
        <v>1.612829295</v>
      </c>
      <c r="K4" s="16">
        <f t="shared" si="4"/>
        <v>0.8338038264</v>
      </c>
      <c r="L4" s="4"/>
      <c r="M4" s="17">
        <f t="shared" ref="M4:O4" si="5">(D4-K4)*A4*K4*(1-K4)</f>
        <v>0.02303063567</v>
      </c>
      <c r="N4" s="17">
        <f t="shared" si="5"/>
        <v>0</v>
      </c>
      <c r="O4" s="17">
        <f t="shared" si="5"/>
        <v>0.01709564117</v>
      </c>
    </row>
    <row r="5">
      <c r="A5" s="13">
        <v>0.0</v>
      </c>
      <c r="B5" s="13">
        <v>1.0</v>
      </c>
      <c r="C5" s="13">
        <v>1.0</v>
      </c>
      <c r="D5" s="13">
        <v>0.0</v>
      </c>
      <c r="E5" s="4"/>
      <c r="F5" s="14">
        <f t="shared" ref="F5:H5" si="6">F4+M4</f>
        <v>0.8058599308</v>
      </c>
      <c r="G5" s="14">
        <f t="shared" si="6"/>
        <v>0.76</v>
      </c>
      <c r="H5" s="14">
        <f t="shared" si="6"/>
        <v>0.8470956412</v>
      </c>
      <c r="I5" s="15"/>
      <c r="J5" s="16">
        <f t="shared" si="3"/>
        <v>1.607095641</v>
      </c>
      <c r="K5" s="16">
        <f t="shared" si="4"/>
        <v>0.8330077638</v>
      </c>
      <c r="L5" s="4"/>
      <c r="M5" s="17">
        <f t="shared" ref="M5:O5" si="7">(D5-K5)*A5*K5*(1-K5)</f>
        <v>0</v>
      </c>
      <c r="N5" s="17">
        <f t="shared" si="7"/>
        <v>0</v>
      </c>
      <c r="O5" s="17">
        <f t="shared" si="7"/>
        <v>0</v>
      </c>
    </row>
    <row r="6">
      <c r="A6" s="13">
        <v>1.0</v>
      </c>
      <c r="B6" s="13">
        <v>1.0</v>
      </c>
      <c r="C6" s="13">
        <v>1.0</v>
      </c>
      <c r="D6" s="13">
        <v>1.0</v>
      </c>
      <c r="E6" s="4"/>
      <c r="F6" s="14">
        <f t="shared" ref="F6:H6" si="8">F5+M5</f>
        <v>0.8058599308</v>
      </c>
      <c r="G6" s="14">
        <f t="shared" si="8"/>
        <v>0.76</v>
      </c>
      <c r="H6" s="14">
        <f t="shared" si="8"/>
        <v>0.8470956412</v>
      </c>
      <c r="I6" s="15"/>
      <c r="J6" s="16">
        <f t="shared" si="3"/>
        <v>2.412955572</v>
      </c>
      <c r="K6" s="16">
        <f t="shared" si="4"/>
        <v>0.9178099106</v>
      </c>
      <c r="L6" s="4"/>
      <c r="M6" s="17">
        <f t="shared" ref="M6:O6" si="9">(D6-K6)*A6*K6*(1-K6)</f>
        <v>0.006199999419</v>
      </c>
      <c r="N6" s="17">
        <f t="shared" si="9"/>
        <v>0</v>
      </c>
      <c r="O6" s="17">
        <f t="shared" si="9"/>
        <v>0.004927152188</v>
      </c>
    </row>
    <row r="7">
      <c r="A7" s="13">
        <v>0.0</v>
      </c>
      <c r="B7" s="13">
        <v>0.0</v>
      </c>
      <c r="C7" s="13">
        <v>1.0</v>
      </c>
      <c r="D7" s="13">
        <v>0.0</v>
      </c>
      <c r="E7" s="4"/>
      <c r="F7" s="14">
        <f t="shared" ref="F7:H7" si="10">F6+M6</f>
        <v>0.8120599302</v>
      </c>
      <c r="G7" s="14">
        <f t="shared" si="10"/>
        <v>0.76</v>
      </c>
      <c r="H7" s="14">
        <f t="shared" si="10"/>
        <v>0.8520227934</v>
      </c>
      <c r="I7" s="15"/>
      <c r="J7" s="16">
        <f t="shared" si="3"/>
        <v>0.8520227934</v>
      </c>
      <c r="K7" s="16">
        <f t="shared" si="4"/>
        <v>0.7009912973</v>
      </c>
      <c r="L7" s="4"/>
      <c r="M7" s="17">
        <f t="shared" ref="M7:O7" si="11">(D7-K7)*A7*K7*(1-K7)</f>
        <v>0</v>
      </c>
      <c r="N7" s="17">
        <f t="shared" si="11"/>
        <v>0</v>
      </c>
      <c r="O7" s="17">
        <f t="shared" si="11"/>
        <v>0</v>
      </c>
    </row>
    <row r="8">
      <c r="A8" s="13">
        <v>0.0</v>
      </c>
      <c r="B8" s="13">
        <v>1.0</v>
      </c>
      <c r="C8" s="13">
        <v>0.0</v>
      </c>
      <c r="D8" s="13">
        <v>0.0</v>
      </c>
      <c r="E8" s="4"/>
      <c r="F8" s="14">
        <f t="shared" ref="F8:H8" si="12">F7+M7</f>
        <v>0.8120599302</v>
      </c>
      <c r="G8" s="14">
        <f t="shared" si="12"/>
        <v>0.76</v>
      </c>
      <c r="H8" s="14">
        <f t="shared" si="12"/>
        <v>0.8520227934</v>
      </c>
      <c r="I8" s="15"/>
      <c r="J8" s="16">
        <f t="shared" si="3"/>
        <v>0.76</v>
      </c>
      <c r="K8" s="16">
        <f t="shared" si="4"/>
        <v>0.6813537338</v>
      </c>
      <c r="L8" s="4"/>
      <c r="M8" s="17">
        <f t="shared" ref="M8:O8" si="13">(D8-K8)*A8*K8*(1-K8)</f>
        <v>0</v>
      </c>
      <c r="N8" s="17">
        <f t="shared" si="13"/>
        <v>0</v>
      </c>
      <c r="O8" s="17">
        <f t="shared" si="13"/>
        <v>0</v>
      </c>
    </row>
    <row r="9">
      <c r="A9" s="13">
        <v>1.0</v>
      </c>
      <c r="B9" s="13">
        <v>1.0</v>
      </c>
      <c r="C9" s="13">
        <v>0.0</v>
      </c>
      <c r="D9" s="13">
        <v>1.0</v>
      </c>
      <c r="E9" s="4"/>
      <c r="F9" s="14">
        <f t="shared" ref="F9:H9" si="14">F8+M8</f>
        <v>0.8120599302</v>
      </c>
      <c r="G9" s="14">
        <f t="shared" si="14"/>
        <v>0.76</v>
      </c>
      <c r="H9" s="14">
        <f t="shared" si="14"/>
        <v>0.8520227934</v>
      </c>
      <c r="I9" s="15"/>
      <c r="J9" s="16">
        <f t="shared" si="3"/>
        <v>1.57205993</v>
      </c>
      <c r="K9" s="16">
        <f t="shared" si="4"/>
        <v>0.8280770694</v>
      </c>
      <c r="L9" s="4"/>
      <c r="M9" s="17">
        <f t="shared" ref="M9:O9" si="15">(D9-K9)*A9*K9*(1-K9)</f>
        <v>0.02447588308</v>
      </c>
      <c r="N9" s="17">
        <f t="shared" si="15"/>
        <v>0</v>
      </c>
      <c r="O9" s="17">
        <f t="shared" si="15"/>
        <v>0</v>
      </c>
    </row>
    <row r="10">
      <c r="A10" s="18">
        <v>0.0</v>
      </c>
      <c r="B10" s="18">
        <v>0.0</v>
      </c>
      <c r="C10" s="18">
        <v>0.0</v>
      </c>
      <c r="D10" s="18">
        <v>0.0</v>
      </c>
      <c r="E10" s="4"/>
      <c r="F10" s="14">
        <f t="shared" ref="F10:H10" si="16">F9+M9</f>
        <v>0.8365358133</v>
      </c>
      <c r="G10" s="14">
        <f t="shared" si="16"/>
        <v>0.76</v>
      </c>
      <c r="H10" s="14">
        <f t="shared" si="16"/>
        <v>0.8520227934</v>
      </c>
      <c r="I10" s="15"/>
      <c r="J10" s="16">
        <f t="shared" si="3"/>
        <v>0</v>
      </c>
      <c r="K10" s="16">
        <f t="shared" si="4"/>
        <v>0.5</v>
      </c>
      <c r="L10" s="4"/>
      <c r="M10" s="17">
        <f t="shared" ref="M10:O10" si="17">(D10-K10)*A10*K10*(1-K10)</f>
        <v>0</v>
      </c>
      <c r="N10" s="17">
        <f t="shared" si="17"/>
        <v>0</v>
      </c>
      <c r="O10" s="17">
        <f t="shared" si="17"/>
        <v>0</v>
      </c>
    </row>
    <row r="11">
      <c r="A11" s="13">
        <v>1.0</v>
      </c>
      <c r="B11" s="13">
        <v>0.0</v>
      </c>
      <c r="C11" s="13">
        <v>0.0</v>
      </c>
      <c r="D11" s="13">
        <v>1.0</v>
      </c>
      <c r="E11" s="4"/>
      <c r="F11" s="14">
        <f t="shared" ref="F11:H11" si="18">F10+M10</f>
        <v>0.8365358133</v>
      </c>
      <c r="G11" s="14">
        <f t="shared" si="18"/>
        <v>0.76</v>
      </c>
      <c r="H11" s="14">
        <f t="shared" si="18"/>
        <v>0.8520227934</v>
      </c>
      <c r="I11" s="15"/>
      <c r="J11" s="16">
        <f t="shared" si="3"/>
        <v>0.8365358133</v>
      </c>
      <c r="K11" s="16">
        <f t="shared" si="4"/>
        <v>0.697735117</v>
      </c>
      <c r="L11" s="4"/>
      <c r="M11" s="17">
        <f t="shared" ref="M11:O11" si="19">(D11-K11)*A11*K11*(1-K11)</f>
        <v>0.06374791274</v>
      </c>
      <c r="N11" s="17">
        <f t="shared" si="19"/>
        <v>0</v>
      </c>
      <c r="O11" s="17">
        <f t="shared" si="19"/>
        <v>0</v>
      </c>
    </row>
    <row r="12">
      <c r="A12" s="13">
        <v>1.0</v>
      </c>
      <c r="B12" s="13">
        <v>0.0</v>
      </c>
      <c r="C12" s="13">
        <v>1.0</v>
      </c>
      <c r="D12" s="13">
        <v>1.0</v>
      </c>
      <c r="F12" s="14">
        <f t="shared" ref="F12:H12" si="20">F11+M11</f>
        <v>0.900283726</v>
      </c>
      <c r="G12" s="14">
        <f t="shared" si="20"/>
        <v>0.76</v>
      </c>
      <c r="H12" s="14">
        <f t="shared" si="20"/>
        <v>0.8520227934</v>
      </c>
      <c r="I12" s="15"/>
      <c r="J12" s="16">
        <f t="shared" si="3"/>
        <v>1.752306519</v>
      </c>
      <c r="K12" s="16">
        <f t="shared" si="4"/>
        <v>0.8522434854</v>
      </c>
      <c r="L12" s="4"/>
      <c r="M12" s="17">
        <f t="shared" ref="M12:O12" si="21">(D12-K12)*A12*K12*(1-K12)</f>
        <v>0.01860616922</v>
      </c>
      <c r="N12" s="17">
        <f t="shared" si="21"/>
        <v>0</v>
      </c>
      <c r="O12" s="17">
        <f t="shared" si="21"/>
        <v>0.01609941428</v>
      </c>
    </row>
    <row r="13">
      <c r="A13" s="13">
        <v>0.0</v>
      </c>
      <c r="B13" s="13">
        <v>1.0</v>
      </c>
      <c r="C13" s="13">
        <v>1.0</v>
      </c>
      <c r="D13" s="13">
        <v>0.0</v>
      </c>
      <c r="F13" s="14">
        <f t="shared" ref="F13:H13" si="22">F12+M12</f>
        <v>0.9188898952</v>
      </c>
      <c r="G13" s="14">
        <f t="shared" si="22"/>
        <v>0.76</v>
      </c>
      <c r="H13" s="14">
        <f t="shared" si="22"/>
        <v>0.8681222076</v>
      </c>
      <c r="I13" s="15"/>
      <c r="J13" s="16">
        <f t="shared" si="3"/>
        <v>1.628122208</v>
      </c>
      <c r="K13" s="16">
        <f t="shared" si="4"/>
        <v>0.8359122376</v>
      </c>
      <c r="L13" s="4"/>
      <c r="M13" s="17">
        <f t="shared" ref="M13:O13" si="23">(D13-K13)*A13*K13*(1-K13)</f>
        <v>0</v>
      </c>
      <c r="N13" s="17">
        <f t="shared" si="23"/>
        <v>0</v>
      </c>
      <c r="O13" s="17">
        <f t="shared" si="23"/>
        <v>0</v>
      </c>
    </row>
    <row r="14">
      <c r="A14" s="13">
        <v>1.0</v>
      </c>
      <c r="B14" s="13">
        <v>1.0</v>
      </c>
      <c r="C14" s="13">
        <v>1.0</v>
      </c>
      <c r="D14" s="13">
        <v>1.0</v>
      </c>
      <c r="F14" s="14">
        <f t="shared" ref="F14:H14" si="24">F13+M13</f>
        <v>0.9188898952</v>
      </c>
      <c r="G14" s="14">
        <f t="shared" si="24"/>
        <v>0.76</v>
      </c>
      <c r="H14" s="14">
        <f t="shared" si="24"/>
        <v>0.8681222076</v>
      </c>
      <c r="I14" s="15"/>
      <c r="J14" s="16">
        <f t="shared" si="3"/>
        <v>2.547012103</v>
      </c>
      <c r="K14" s="16">
        <f t="shared" si="4"/>
        <v>0.9273725284</v>
      </c>
      <c r="L14" s="4"/>
      <c r="M14" s="17">
        <f t="shared" ref="M14:O14" si="25">(D14-K14)*A14*K14*(1-K14)</f>
        <v>0.004891657898</v>
      </c>
      <c r="N14" s="17">
        <f t="shared" si="25"/>
        <v>0</v>
      </c>
      <c r="O14" s="17">
        <f t="shared" si="25"/>
        <v>0.004449096257</v>
      </c>
    </row>
    <row r="15">
      <c r="A15" s="13">
        <v>0.0</v>
      </c>
      <c r="B15" s="13">
        <v>0.0</v>
      </c>
      <c r="C15" s="13">
        <v>1.0</v>
      </c>
      <c r="D15" s="13">
        <v>0.0</v>
      </c>
      <c r="F15" s="14">
        <f t="shared" ref="F15:H15" si="26">F14+M14</f>
        <v>0.9237815531</v>
      </c>
      <c r="G15" s="14">
        <f t="shared" si="26"/>
        <v>0.76</v>
      </c>
      <c r="H15" s="14">
        <f t="shared" si="26"/>
        <v>0.8725713039</v>
      </c>
      <c r="I15" s="15"/>
      <c r="J15" s="16">
        <f t="shared" si="3"/>
        <v>0.8725713039</v>
      </c>
      <c r="K15" s="16">
        <f t="shared" si="4"/>
        <v>0.705280451</v>
      </c>
      <c r="L15" s="4"/>
      <c r="M15" s="17">
        <f t="shared" ref="M15:O15" si="27">(D15-K15)*A15*K15*(1-K15)</f>
        <v>0</v>
      </c>
      <c r="N15" s="17">
        <f t="shared" si="27"/>
        <v>0</v>
      </c>
      <c r="O15" s="17">
        <f t="shared" si="27"/>
        <v>0</v>
      </c>
    </row>
    <row r="16">
      <c r="A16" s="13">
        <v>0.0</v>
      </c>
      <c r="B16" s="13">
        <v>1.0</v>
      </c>
      <c r="C16" s="13">
        <v>0.0</v>
      </c>
      <c r="D16" s="13">
        <v>0.0</v>
      </c>
      <c r="F16" s="14">
        <f t="shared" ref="F16:H16" si="28">F15+M15</f>
        <v>0.9237815531</v>
      </c>
      <c r="G16" s="14">
        <f t="shared" si="28"/>
        <v>0.76</v>
      </c>
      <c r="H16" s="14">
        <f t="shared" si="28"/>
        <v>0.8725713039</v>
      </c>
      <c r="I16" s="15"/>
      <c r="J16" s="16">
        <f t="shared" si="3"/>
        <v>0.76</v>
      </c>
      <c r="K16" s="16">
        <f t="shared" si="4"/>
        <v>0.6813537338</v>
      </c>
      <c r="L16" s="4"/>
      <c r="M16" s="17">
        <f t="shared" ref="M16:O16" si="29">(D16-K16)*A16*K16*(1-K16)</f>
        <v>0</v>
      </c>
      <c r="N16" s="17">
        <f t="shared" si="29"/>
        <v>0</v>
      </c>
      <c r="O16" s="17">
        <f t="shared" si="29"/>
        <v>0</v>
      </c>
    </row>
    <row r="17">
      <c r="A17" s="13">
        <v>1.0</v>
      </c>
      <c r="B17" s="13">
        <v>1.0</v>
      </c>
      <c r="C17" s="13">
        <v>0.0</v>
      </c>
      <c r="D17" s="13">
        <v>1.0</v>
      </c>
      <c r="F17" s="14">
        <f t="shared" ref="F17:H17" si="30">F16+M16</f>
        <v>0.9237815531</v>
      </c>
      <c r="G17" s="14">
        <f t="shared" si="30"/>
        <v>0.76</v>
      </c>
      <c r="H17" s="14">
        <f t="shared" si="30"/>
        <v>0.8725713039</v>
      </c>
      <c r="I17" s="15"/>
      <c r="J17" s="16">
        <f t="shared" si="3"/>
        <v>1.683781553</v>
      </c>
      <c r="K17" s="16">
        <f t="shared" si="4"/>
        <v>0.843404622</v>
      </c>
      <c r="L17" s="4"/>
      <c r="M17" s="17">
        <f t="shared" ref="M17:O17" si="31">(D17-K17)*A17*K17*(1-K17)</f>
        <v>0.02068206295</v>
      </c>
      <c r="N17" s="17">
        <f t="shared" si="31"/>
        <v>0</v>
      </c>
      <c r="O17" s="17">
        <f t="shared" si="31"/>
        <v>0</v>
      </c>
    </row>
    <row r="18">
      <c r="A18" s="13">
        <v>0.0</v>
      </c>
      <c r="B18" s="13">
        <v>0.0</v>
      </c>
      <c r="C18" s="13">
        <v>0.0</v>
      </c>
      <c r="D18" s="13">
        <v>0.0</v>
      </c>
      <c r="F18" s="14">
        <f t="shared" ref="F18:H18" si="32">F17+M17</f>
        <v>0.9444636161</v>
      </c>
      <c r="G18" s="14">
        <f t="shared" si="32"/>
        <v>0.76</v>
      </c>
      <c r="H18" s="14">
        <f t="shared" si="32"/>
        <v>0.8725713039</v>
      </c>
      <c r="I18" s="15"/>
      <c r="J18" s="16">
        <f t="shared" si="3"/>
        <v>0</v>
      </c>
      <c r="K18" s="16">
        <f t="shared" si="4"/>
        <v>0.5</v>
      </c>
      <c r="L18" s="4"/>
      <c r="M18" s="17">
        <f t="shared" ref="M18:O18" si="33">(D18-K18)*A18*K18*(1-K18)</f>
        <v>0</v>
      </c>
      <c r="N18" s="17">
        <f t="shared" si="33"/>
        <v>0</v>
      </c>
      <c r="O18" s="17">
        <f t="shared" si="33"/>
        <v>0</v>
      </c>
    </row>
  </sheetData>
  <mergeCells count="3">
    <mergeCell ref="A1:D1"/>
    <mergeCell ref="F1:H1"/>
    <mergeCell ref="M1:O1"/>
  </mergeCells>
  <drawing r:id="rId1"/>
</worksheet>
</file>